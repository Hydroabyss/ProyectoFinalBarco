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0eabd8a7dc3a86b7/Documentos/UPC/Ships and naval artifact desing/"/>
    </mc:Choice>
  </mc:AlternateContent>
  <xr:revisionPtr revIDLastSave="48" documentId="11_13227C84D0B44728BFD64869BBA4D715286002FC" xr6:coauthVersionLast="47" xr6:coauthVersionMax="47" xr10:uidLastSave="{C6366DC2-CDE8-42FC-94F1-1A71EE195735}"/>
  <bookViews>
    <workbookView xWindow="-108" yWindow="-108" windowWidth="23256" windowHeight="1389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6" i="1" l="1"/>
  <c r="B166" i="1"/>
  <c r="B170" i="1" s="1"/>
  <c r="B173" i="1" s="1"/>
  <c r="B165" i="1"/>
  <c r="B158" i="1"/>
  <c r="B157" i="1"/>
  <c r="B137" i="1"/>
  <c r="B135" i="1"/>
  <c r="B134" i="1"/>
  <c r="C125" i="1"/>
  <c r="B41" i="1"/>
  <c r="C40" i="1"/>
  <c r="J33" i="1"/>
  <c r="I33" i="1"/>
  <c r="H33" i="1"/>
  <c r="G33" i="1"/>
  <c r="F33" i="1"/>
  <c r="E33" i="1"/>
  <c r="D33" i="1"/>
  <c r="C33" i="1"/>
  <c r="B33" i="1"/>
  <c r="C15" i="1"/>
  <c r="B11" i="1"/>
</calcChain>
</file>

<file path=xl/sharedStrings.xml><?xml version="1.0" encoding="utf-8"?>
<sst xmlns="http://schemas.openxmlformats.org/spreadsheetml/2006/main" count="98" uniqueCount="94">
  <si>
    <t>Dades</t>
  </si>
  <si>
    <t>Tipus de vaixell</t>
  </si>
  <si>
    <t>Granelero</t>
  </si>
  <si>
    <t>Capacitat de càrrega</t>
  </si>
  <si>
    <t>TEU</t>
  </si>
  <si>
    <t>Volum càrrega</t>
  </si>
  <si>
    <t>m3</t>
  </si>
  <si>
    <t>Pes mort a plena càrrega</t>
  </si>
  <si>
    <t>ton</t>
  </si>
  <si>
    <t>Velocitat</t>
  </si>
  <si>
    <t>kn</t>
  </si>
  <si>
    <t>Autonomia</t>
  </si>
  <si>
    <t>mn</t>
  </si>
  <si>
    <t>Tripulació</t>
  </si>
  <si>
    <t>-</t>
  </si>
  <si>
    <t>persones</t>
  </si>
  <si>
    <t>Densitat màxima càrrega</t>
  </si>
  <si>
    <t>kg/m3</t>
  </si>
  <si>
    <t>Vol sota coberta principal</t>
  </si>
  <si>
    <t>Base Dades de vaixells</t>
  </si>
  <si>
    <t>NOMBRE</t>
  </si>
  <si>
    <t>LOA</t>
  </si>
  <si>
    <t>Lpp</t>
  </si>
  <si>
    <t>B</t>
  </si>
  <si>
    <t>T</t>
  </si>
  <si>
    <t>D</t>
  </si>
  <si>
    <t>DWT</t>
  </si>
  <si>
    <t>Vc</t>
  </si>
  <si>
    <t>Δ</t>
  </si>
  <si>
    <t>VEL,</t>
  </si>
  <si>
    <t>BUQUE 1</t>
  </si>
  <si>
    <t>BUQUE 2</t>
  </si>
  <si>
    <t>BUQUE 3</t>
  </si>
  <si>
    <t>BUQUE 4</t>
  </si>
  <si>
    <t>BUQUE 5</t>
  </si>
  <si>
    <t>BUQUE 6</t>
  </si>
  <si>
    <t>BUQUE 7</t>
  </si>
  <si>
    <t>BUQUE 8</t>
  </si>
  <si>
    <t>BUQUE 9</t>
  </si>
  <si>
    <t>BUQUE 10</t>
  </si>
  <si>
    <t>BUQUE 11</t>
  </si>
  <si>
    <t>BUQUE 12</t>
  </si>
  <si>
    <t>BUQUE 13</t>
  </si>
  <si>
    <t>BUQUE 14</t>
  </si>
  <si>
    <t>BUQUE 15</t>
  </si>
  <si>
    <t>BUQUE 16</t>
  </si>
  <si>
    <t>BUQUE 17</t>
  </si>
  <si>
    <t>Average:</t>
  </si>
  <si>
    <t>A) A partir de les especificacions del projecte, determinar quina és la variable principal de dimensionament del mateix (volum de càrrega o pes mort). És un vaixell de pes mort o de volum?</t>
  </si>
  <si>
    <t xml:space="preserve">Buque de peso </t>
  </si>
  <si>
    <t>Tipo:</t>
  </si>
  <si>
    <r>
      <rPr>
        <sz val="10"/>
        <color theme="1"/>
        <rFont val="Arial"/>
      </rPr>
      <t xml:space="preserve">Per tant, a priori, la </t>
    </r>
    <r>
      <rPr>
        <b/>
        <sz val="10"/>
        <color theme="1"/>
        <rFont val="Arial"/>
      </rPr>
      <t xml:space="preserve">variable crítica </t>
    </r>
    <r>
      <rPr>
        <sz val="10"/>
        <color theme="1"/>
        <rFont val="Arial"/>
      </rPr>
      <t xml:space="preserve">d'aquest projecte serà el </t>
    </r>
    <r>
      <rPr>
        <b/>
        <sz val="10"/>
        <color theme="1"/>
        <rFont val="Arial"/>
      </rPr>
      <t>pes</t>
    </r>
    <r>
      <rPr>
        <sz val="10"/>
        <color theme="1"/>
        <rFont val="Arial"/>
      </rPr>
      <t xml:space="preserve"> de vaixell.</t>
    </r>
  </si>
  <si>
    <t>B&lt;A partir de la base de dades anterior, obtenir les corbes de regressió lineal que relacionen</t>
  </si>
  <si>
    <t>les dimensions principals del vaixell LBP, B, T i D. Comprovar el coeficient de regressió</t>
  </si>
  <si>
    <t>(R2) de cada recta i seleccionar les 3 relacions que millor serveixin per estimar amb fiabilitat</t>
  </si>
  <si>
    <t>les dimensions principals del vaixell.</t>
  </si>
  <si>
    <t>Considerando los gráficos obtenidos y sus regresiones lineales, las 3 relaciones óptimas a considerar seran:</t>
  </si>
  <si>
    <t>Relacion</t>
  </si>
  <si>
    <t>R^2</t>
  </si>
  <si>
    <t>T = f(B)</t>
  </si>
  <si>
    <t>D = f(T)</t>
  </si>
  <si>
    <t>B = f(Lpp)</t>
  </si>
  <si>
    <t>C) Obtenir la corba de regressió lineal del desplaçament, en funció de la variable principal de</t>
  </si>
  <si>
    <t>dimensionament (VC o DWT). Determinar l’eslora del vaixell en funció de la variable</t>
  </si>
  <si>
    <t>principal de dimensionament.</t>
  </si>
  <si>
    <r>
      <rPr>
        <sz val="10"/>
        <color theme="1"/>
        <rFont val="Arial"/>
      </rPr>
      <t xml:space="preserve">Dado que el buque es un buque de peso, para determinar la </t>
    </r>
    <r>
      <rPr>
        <b/>
        <sz val="10"/>
        <color theme="1"/>
        <rFont val="Arial"/>
      </rPr>
      <t xml:space="preserve">eslora </t>
    </r>
    <r>
      <rPr>
        <sz val="10"/>
        <color theme="1"/>
        <rFont val="Arial"/>
      </rPr>
      <t>de este, consideramos la relación de la eslora en</t>
    </r>
    <r>
      <rPr>
        <b/>
        <sz val="10"/>
        <color theme="1"/>
        <rFont val="Arial"/>
      </rPr>
      <t xml:space="preserve"> fución del desplazamiento.</t>
    </r>
  </si>
  <si>
    <t xml:space="preserve">Lpp: </t>
  </si>
  <si>
    <t>m</t>
  </si>
  <si>
    <t>D) A partir de les regressions calculades als apartats anteriors, estimar els valors dels</t>
  </si>
  <si>
    <t>paràmetres següents: B, T, D i Desplazamiento. Una vegada obtingudes les dimensions principals del</t>
  </si>
  <si>
    <t>vaixell, estimar els valors dels coeficients de bloc (CB), de quaderna mestra (CM) i prismàtic</t>
  </si>
  <si>
    <t>(CP) i de la posició del centre de carena (XCC) mitjançant fórmules empíriques.</t>
  </si>
  <si>
    <t>Dimensiones</t>
  </si>
  <si>
    <t>MANGA (B)</t>
  </si>
  <si>
    <t xml:space="preserve">CALADO (T) </t>
  </si>
  <si>
    <t>PUNTAL (D)</t>
  </si>
  <si>
    <t xml:space="preserve">DESPLAZAMIENTO </t>
  </si>
  <si>
    <t>Tn</t>
  </si>
  <si>
    <t>1)</t>
  </si>
  <si>
    <r>
      <rPr>
        <b/>
        <sz val="10"/>
        <color theme="1"/>
        <rFont val="Arial"/>
      </rPr>
      <t xml:space="preserve">CB </t>
    </r>
    <r>
      <rPr>
        <sz val="10"/>
        <color theme="1"/>
        <rFont val="Arial"/>
      </rPr>
      <t>(formula Telfer)</t>
    </r>
  </si>
  <si>
    <t>K</t>
  </si>
  <si>
    <r>
      <rPr>
        <b/>
        <sz val="10"/>
        <color theme="1"/>
        <rFont val="Arial"/>
      </rPr>
      <t>CB</t>
    </r>
    <r>
      <rPr>
        <sz val="10"/>
        <color theme="1"/>
        <rFont val="Arial"/>
      </rPr>
      <t xml:space="preserve"> (formula Alexandr)</t>
    </r>
  </si>
  <si>
    <t>El valor más elevado de CB es el obtenido a partir de la fórmula de Alexander. Aún así el valor coeficiente de bloque de nuestro buque queda lejos del valor óptimo para buques de peso (0,8 - 0,85)</t>
  </si>
  <si>
    <t xml:space="preserve">Por eso, en el siguiente apartado de diseño de formas nos focalizaremos en incrementar este coeficiente. </t>
  </si>
  <si>
    <t>2)</t>
  </si>
  <si>
    <t>CM (fórmula Kernel)</t>
  </si>
  <si>
    <t>CM (fórmula HSVA)</t>
  </si>
  <si>
    <t>3)</t>
  </si>
  <si>
    <t>CP</t>
  </si>
  <si>
    <t xml:space="preserve">CP &gt;= CB </t>
  </si>
  <si>
    <t>OK</t>
  </si>
  <si>
    <t>4)</t>
  </si>
  <si>
    <t>XCC (fórmula L.Troost)</t>
  </si>
  <si>
    <t>Grupo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</si>
</sst>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11"/>
      <color rgb="FF808080"/>
      <name val="Calibri"/>
    </font>
    <font>
      <sz val="10"/>
      <color rgb="FF0000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0" fontId="2" fillId="2" borderId="3" xfId="0" applyFont="1" applyFill="1" applyBorder="1" applyAlignment="1">
      <alignment horizontal="left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2" fillId="0" borderId="4" xfId="0" applyFont="1" applyBorder="1" applyAlignment="1"/>
    <xf numFmtId="0" fontId="5" fillId="0" borderId="0" xfId="0" applyFont="1" applyAlignment="1"/>
    <xf numFmtId="0" fontId="5" fillId="0" borderId="0" xfId="0" applyFont="1"/>
    <xf numFmtId="0" fontId="6" fillId="0" borderId="3" xfId="0" applyFont="1" applyBorder="1" applyAlignment="1"/>
    <xf numFmtId="2" fontId="6" fillId="3" borderId="3" xfId="0" applyNumberFormat="1" applyFont="1" applyFill="1" applyBorder="1"/>
    <xf numFmtId="0" fontId="6" fillId="0" borderId="0" xfId="0" applyFont="1" applyAlignment="1">
      <alignment horizontal="right"/>
    </xf>
    <xf numFmtId="0" fontId="6" fillId="0" borderId="0" xfId="0" applyFont="1"/>
    <xf numFmtId="2" fontId="6" fillId="0" borderId="0" xfId="0" applyNumberFormat="1" applyFont="1" applyAlignment="1"/>
    <xf numFmtId="0" fontId="6" fillId="4" borderId="0" xfId="0" applyFont="1" applyFill="1" applyAlignment="1"/>
    <xf numFmtId="0" fontId="6" fillId="0" borderId="0" xfId="0" applyFont="1" applyAlignment="1"/>
    <xf numFmtId="0" fontId="6" fillId="2" borderId="3" xfId="0" applyFont="1" applyFill="1" applyBorder="1" applyAlignment="1"/>
    <xf numFmtId="0" fontId="7" fillId="0" borderId="0" xfId="0" applyFont="1"/>
    <xf numFmtId="164" fontId="6" fillId="3" borderId="3" xfId="0" applyNumberFormat="1" applyFont="1" applyFill="1" applyBorder="1" applyAlignment="1"/>
    <xf numFmtId="0" fontId="6" fillId="2" borderId="3" xfId="0" applyFont="1" applyFill="1" applyBorder="1" applyAlignment="1">
      <alignment horizontal="right"/>
    </xf>
    <xf numFmtId="0" fontId="7" fillId="0" borderId="0" xfId="0" applyFont="1" applyAlignment="1"/>
    <xf numFmtId="2" fontId="6" fillId="0" borderId="0" xfId="0" applyNumberFormat="1" applyFont="1"/>
    <xf numFmtId="2" fontId="6" fillId="3" borderId="0" xfId="0" applyNumberFormat="1" applyFont="1" applyFill="1"/>
    <xf numFmtId="165" fontId="6" fillId="0" borderId="0" xfId="0" applyNumberFormat="1" applyFont="1"/>
    <xf numFmtId="165" fontId="6" fillId="3" borderId="0" xfId="0" applyNumberFormat="1" applyFont="1" applyFill="1" applyAlignment="1"/>
    <xf numFmtId="0" fontId="10" fillId="0" borderId="5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 = f(Lpp)</a:t>
            </a:r>
          </a:p>
        </c:rich>
      </c:tx>
      <c:layout>
        <c:manualLayout>
          <c:xMode val="edge"/>
          <c:yMode val="edge"/>
          <c:x val="2.6443418013856815E-2"/>
          <c:y val="4.6282527881040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920835530662597E-2"/>
                  <c:y val="0.197769516728624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'Hoja 1'!$C$15:$C$31</c:f>
              <c:numCache>
                <c:formatCode>General</c:formatCode>
                <c:ptCount val="17"/>
                <c:pt idx="0" formatCode="0.0">
                  <c:v>97.679000000000002</c:v>
                </c:pt>
                <c:pt idx="1">
                  <c:v>92.1</c:v>
                </c:pt>
                <c:pt idx="2">
                  <c:v>90.6</c:v>
                </c:pt>
                <c:pt idx="3">
                  <c:v>99.8</c:v>
                </c:pt>
                <c:pt idx="4">
                  <c:v>95.3</c:v>
                </c:pt>
                <c:pt idx="5">
                  <c:v>95.7</c:v>
                </c:pt>
                <c:pt idx="6">
                  <c:v>105.3</c:v>
                </c:pt>
                <c:pt idx="7">
                  <c:v>85</c:v>
                </c:pt>
                <c:pt idx="8">
                  <c:v>96.2</c:v>
                </c:pt>
                <c:pt idx="9">
                  <c:v>90.6</c:v>
                </c:pt>
                <c:pt idx="10">
                  <c:v>91.1</c:v>
                </c:pt>
                <c:pt idx="11">
                  <c:v>83</c:v>
                </c:pt>
                <c:pt idx="12">
                  <c:v>98</c:v>
                </c:pt>
                <c:pt idx="13">
                  <c:v>90.7</c:v>
                </c:pt>
                <c:pt idx="14">
                  <c:v>100.3</c:v>
                </c:pt>
                <c:pt idx="15">
                  <c:v>103.8</c:v>
                </c:pt>
                <c:pt idx="16">
                  <c:v>88.2</c:v>
                </c:pt>
              </c:numCache>
            </c:numRef>
          </c:xVal>
          <c:yVal>
            <c:numRef>
              <c:f>'Hoja 1'!$D$15:$D$31</c:f>
              <c:numCache>
                <c:formatCode>General</c:formatCode>
                <c:ptCount val="17"/>
                <c:pt idx="0">
                  <c:v>14.4</c:v>
                </c:pt>
                <c:pt idx="1">
                  <c:v>15.2</c:v>
                </c:pt>
                <c:pt idx="2">
                  <c:v>14.5</c:v>
                </c:pt>
                <c:pt idx="3">
                  <c:v>16.3</c:v>
                </c:pt>
                <c:pt idx="4">
                  <c:v>14.7</c:v>
                </c:pt>
                <c:pt idx="5">
                  <c:v>16</c:v>
                </c:pt>
                <c:pt idx="6">
                  <c:v>15.1</c:v>
                </c:pt>
                <c:pt idx="7">
                  <c:v>13.2</c:v>
                </c:pt>
                <c:pt idx="8">
                  <c:v>14.3</c:v>
                </c:pt>
                <c:pt idx="9">
                  <c:v>14.8</c:v>
                </c:pt>
                <c:pt idx="10">
                  <c:v>14.3</c:v>
                </c:pt>
                <c:pt idx="11">
                  <c:v>13.6</c:v>
                </c:pt>
                <c:pt idx="12">
                  <c:v>14.5</c:v>
                </c:pt>
                <c:pt idx="13">
                  <c:v>14.8</c:v>
                </c:pt>
                <c:pt idx="14">
                  <c:v>16.2</c:v>
                </c:pt>
                <c:pt idx="15">
                  <c:v>16.3</c:v>
                </c:pt>
                <c:pt idx="16">
                  <c:v>14.5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8D-4A9F-9435-B728D53C5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793828"/>
        <c:axId val="500686585"/>
      </c:scatterChart>
      <c:valAx>
        <c:axId val="1394793828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686585"/>
        <c:crosses val="autoZero"/>
        <c:crossBetween val="midCat"/>
      </c:valAx>
      <c:valAx>
        <c:axId val="5006865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47938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 = f(B)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1'!$F$13:$F$14</c:f>
              <c:strCache>
                <c:ptCount val="2"/>
                <c:pt idx="1">
                  <c:v>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706661089996546E-2"/>
                  <c:y val="0.163073110285006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'Hoja 1'!$D$15:$D$31</c:f>
              <c:numCache>
                <c:formatCode>General</c:formatCode>
                <c:ptCount val="17"/>
                <c:pt idx="0">
                  <c:v>14.4</c:v>
                </c:pt>
                <c:pt idx="1">
                  <c:v>15.2</c:v>
                </c:pt>
                <c:pt idx="2">
                  <c:v>14.5</c:v>
                </c:pt>
                <c:pt idx="3">
                  <c:v>16.3</c:v>
                </c:pt>
                <c:pt idx="4">
                  <c:v>14.7</c:v>
                </c:pt>
                <c:pt idx="5">
                  <c:v>16</c:v>
                </c:pt>
                <c:pt idx="6">
                  <c:v>15.1</c:v>
                </c:pt>
                <c:pt idx="7">
                  <c:v>13.2</c:v>
                </c:pt>
                <c:pt idx="8">
                  <c:v>14.3</c:v>
                </c:pt>
                <c:pt idx="9">
                  <c:v>14.8</c:v>
                </c:pt>
                <c:pt idx="10">
                  <c:v>14.3</c:v>
                </c:pt>
                <c:pt idx="11">
                  <c:v>13.6</c:v>
                </c:pt>
                <c:pt idx="12">
                  <c:v>14.5</c:v>
                </c:pt>
                <c:pt idx="13">
                  <c:v>14.8</c:v>
                </c:pt>
                <c:pt idx="14">
                  <c:v>16.2</c:v>
                </c:pt>
                <c:pt idx="15">
                  <c:v>16.3</c:v>
                </c:pt>
                <c:pt idx="16">
                  <c:v>14.5</c:v>
                </c:pt>
              </c:numCache>
            </c:numRef>
          </c:xVal>
          <c:yVal>
            <c:numRef>
              <c:f>'Hoja 1'!$F$15:$F$31</c:f>
              <c:numCache>
                <c:formatCode>General</c:formatCode>
                <c:ptCount val="17"/>
                <c:pt idx="0">
                  <c:v>7.6</c:v>
                </c:pt>
                <c:pt idx="1">
                  <c:v>8.1999999999999993</c:v>
                </c:pt>
                <c:pt idx="2">
                  <c:v>7.2</c:v>
                </c:pt>
                <c:pt idx="3">
                  <c:v>8</c:v>
                </c:pt>
                <c:pt idx="4">
                  <c:v>7.2</c:v>
                </c:pt>
                <c:pt idx="5">
                  <c:v>8.1</c:v>
                </c:pt>
                <c:pt idx="6">
                  <c:v>7.6</c:v>
                </c:pt>
                <c:pt idx="7">
                  <c:v>7.1</c:v>
                </c:pt>
                <c:pt idx="8">
                  <c:v>6.7</c:v>
                </c:pt>
                <c:pt idx="9">
                  <c:v>8.1</c:v>
                </c:pt>
                <c:pt idx="10">
                  <c:v>7.4</c:v>
                </c:pt>
                <c:pt idx="11">
                  <c:v>7.1</c:v>
                </c:pt>
                <c:pt idx="12">
                  <c:v>6.9</c:v>
                </c:pt>
                <c:pt idx="13">
                  <c:v>6.9</c:v>
                </c:pt>
                <c:pt idx="14">
                  <c:v>8</c:v>
                </c:pt>
                <c:pt idx="15">
                  <c:v>8</c:v>
                </c:pt>
                <c:pt idx="16">
                  <c:v>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79-45F0-B566-E1B89C0FA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366212"/>
        <c:axId val="1327621203"/>
      </c:scatterChart>
      <c:valAx>
        <c:axId val="249366212"/>
        <c:scaling>
          <c:orientation val="minMax"/>
          <c:min val="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7621203"/>
        <c:crosses val="autoZero"/>
        <c:crossBetween val="midCat"/>
      </c:valAx>
      <c:valAx>
        <c:axId val="13276212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93662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 = f(Lpp)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1'!$F$13:$F$14</c:f>
              <c:strCache>
                <c:ptCount val="2"/>
                <c:pt idx="1">
                  <c:v>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216229322373967E-2"/>
                  <c:y val="0.212639405204460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'Hoja 1'!$C$15:$C$31</c:f>
              <c:numCache>
                <c:formatCode>General</c:formatCode>
                <c:ptCount val="17"/>
                <c:pt idx="0" formatCode="0.0">
                  <c:v>97.679000000000002</c:v>
                </c:pt>
                <c:pt idx="1">
                  <c:v>92.1</c:v>
                </c:pt>
                <c:pt idx="2">
                  <c:v>90.6</c:v>
                </c:pt>
                <c:pt idx="3">
                  <c:v>99.8</c:v>
                </c:pt>
                <c:pt idx="4">
                  <c:v>95.3</c:v>
                </c:pt>
                <c:pt idx="5">
                  <c:v>95.7</c:v>
                </c:pt>
                <c:pt idx="6">
                  <c:v>105.3</c:v>
                </c:pt>
                <c:pt idx="7">
                  <c:v>85</c:v>
                </c:pt>
                <c:pt idx="8">
                  <c:v>96.2</c:v>
                </c:pt>
                <c:pt idx="9">
                  <c:v>90.6</c:v>
                </c:pt>
                <c:pt idx="10">
                  <c:v>91.1</c:v>
                </c:pt>
                <c:pt idx="11">
                  <c:v>83</c:v>
                </c:pt>
                <c:pt idx="12">
                  <c:v>98</c:v>
                </c:pt>
                <c:pt idx="13">
                  <c:v>90.7</c:v>
                </c:pt>
                <c:pt idx="14">
                  <c:v>100.3</c:v>
                </c:pt>
                <c:pt idx="15">
                  <c:v>103.8</c:v>
                </c:pt>
                <c:pt idx="16">
                  <c:v>88.2</c:v>
                </c:pt>
              </c:numCache>
            </c:numRef>
          </c:xVal>
          <c:yVal>
            <c:numRef>
              <c:f>'Hoja 1'!$F$15:$F$31</c:f>
              <c:numCache>
                <c:formatCode>General</c:formatCode>
                <c:ptCount val="17"/>
                <c:pt idx="0">
                  <c:v>7.6</c:v>
                </c:pt>
                <c:pt idx="1">
                  <c:v>8.1999999999999993</c:v>
                </c:pt>
                <c:pt idx="2">
                  <c:v>7.2</c:v>
                </c:pt>
                <c:pt idx="3">
                  <c:v>8</c:v>
                </c:pt>
                <c:pt idx="4">
                  <c:v>7.2</c:v>
                </c:pt>
                <c:pt idx="5">
                  <c:v>8.1</c:v>
                </c:pt>
                <c:pt idx="6">
                  <c:v>7.6</c:v>
                </c:pt>
                <c:pt idx="7">
                  <c:v>7.1</c:v>
                </c:pt>
                <c:pt idx="8">
                  <c:v>6.7</c:v>
                </c:pt>
                <c:pt idx="9">
                  <c:v>8.1</c:v>
                </c:pt>
                <c:pt idx="10">
                  <c:v>7.4</c:v>
                </c:pt>
                <c:pt idx="11">
                  <c:v>7.1</c:v>
                </c:pt>
                <c:pt idx="12">
                  <c:v>6.9</c:v>
                </c:pt>
                <c:pt idx="13">
                  <c:v>6.9</c:v>
                </c:pt>
                <c:pt idx="14">
                  <c:v>8</c:v>
                </c:pt>
                <c:pt idx="15">
                  <c:v>8</c:v>
                </c:pt>
                <c:pt idx="16">
                  <c:v>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29-450C-9603-2E0A78637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966289"/>
        <c:axId val="1400271137"/>
      </c:scatterChart>
      <c:valAx>
        <c:axId val="1101966289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0271137"/>
        <c:crosses val="autoZero"/>
        <c:crossBetween val="midCat"/>
      </c:valAx>
      <c:valAx>
        <c:axId val="14002711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196628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 = 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1'!$F$13:$F$14</c:f>
              <c:strCache>
                <c:ptCount val="2"/>
                <c:pt idx="1">
                  <c:v>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67205542725173E-2"/>
                  <c:y val="0.163073110285006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'Hoja 1'!$E$15:$E$31</c:f>
              <c:numCache>
                <c:formatCode>General</c:formatCode>
                <c:ptCount val="17"/>
                <c:pt idx="0">
                  <c:v>6</c:v>
                </c:pt>
                <c:pt idx="1">
                  <c:v>5.9</c:v>
                </c:pt>
                <c:pt idx="2">
                  <c:v>5.8</c:v>
                </c:pt>
                <c:pt idx="3">
                  <c:v>6.3</c:v>
                </c:pt>
                <c:pt idx="4">
                  <c:v>5.9</c:v>
                </c:pt>
                <c:pt idx="5">
                  <c:v>6.2</c:v>
                </c:pt>
                <c:pt idx="6">
                  <c:v>6</c:v>
                </c:pt>
                <c:pt idx="7">
                  <c:v>5.6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5.6</c:v>
                </c:pt>
                <c:pt idx="12">
                  <c:v>5.7</c:v>
                </c:pt>
                <c:pt idx="13">
                  <c:v>5.6</c:v>
                </c:pt>
                <c:pt idx="14">
                  <c:v>6.3</c:v>
                </c:pt>
                <c:pt idx="15">
                  <c:v>6.4</c:v>
                </c:pt>
                <c:pt idx="16">
                  <c:v>6</c:v>
                </c:pt>
              </c:numCache>
            </c:numRef>
          </c:xVal>
          <c:yVal>
            <c:numRef>
              <c:f>'Hoja 1'!$F$15:$F$31</c:f>
              <c:numCache>
                <c:formatCode>General</c:formatCode>
                <c:ptCount val="17"/>
                <c:pt idx="0">
                  <c:v>7.6</c:v>
                </c:pt>
                <c:pt idx="1">
                  <c:v>8.1999999999999993</c:v>
                </c:pt>
                <c:pt idx="2">
                  <c:v>7.2</c:v>
                </c:pt>
                <c:pt idx="3">
                  <c:v>8</c:v>
                </c:pt>
                <c:pt idx="4">
                  <c:v>7.2</c:v>
                </c:pt>
                <c:pt idx="5">
                  <c:v>8.1</c:v>
                </c:pt>
                <c:pt idx="6">
                  <c:v>7.6</c:v>
                </c:pt>
                <c:pt idx="7">
                  <c:v>7.1</c:v>
                </c:pt>
                <c:pt idx="8">
                  <c:v>6.7</c:v>
                </c:pt>
                <c:pt idx="9">
                  <c:v>8.1</c:v>
                </c:pt>
                <c:pt idx="10">
                  <c:v>7.4</c:v>
                </c:pt>
                <c:pt idx="11">
                  <c:v>7.1</c:v>
                </c:pt>
                <c:pt idx="12">
                  <c:v>6.9</c:v>
                </c:pt>
                <c:pt idx="13">
                  <c:v>6.9</c:v>
                </c:pt>
                <c:pt idx="14">
                  <c:v>8</c:v>
                </c:pt>
                <c:pt idx="15">
                  <c:v>8</c:v>
                </c:pt>
                <c:pt idx="16">
                  <c:v>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02-421D-AC82-B71F70A5A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339978"/>
        <c:axId val="1996427793"/>
      </c:scatterChart>
      <c:valAx>
        <c:axId val="155333997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6427793"/>
        <c:crosses val="autoZero"/>
        <c:crossBetween val="midCat"/>
      </c:valAx>
      <c:valAx>
        <c:axId val="19964277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333997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 = f(Lpp)</a:t>
            </a:r>
          </a:p>
        </c:rich>
      </c:tx>
      <c:layout>
        <c:manualLayout>
          <c:xMode val="edge"/>
          <c:yMode val="edge"/>
          <c:x val="3.1062355658198617E-2"/>
          <c:y val="4.6282527881040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1'!$E$13:$E$14</c:f>
              <c:strCache>
                <c:ptCount val="2"/>
                <c:pt idx="1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2BA-4B46-9D6C-71A61678301A}"/>
              </c:ext>
            </c:extLst>
          </c:dPt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540397519594116"/>
                  <c:y val="-2.85876533091356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'Hoja 1'!$C$15:$C$31</c:f>
              <c:numCache>
                <c:formatCode>General</c:formatCode>
                <c:ptCount val="17"/>
                <c:pt idx="0" formatCode="0.0">
                  <c:v>97.679000000000002</c:v>
                </c:pt>
                <c:pt idx="1">
                  <c:v>92.1</c:v>
                </c:pt>
                <c:pt idx="2">
                  <c:v>90.6</c:v>
                </c:pt>
                <c:pt idx="3">
                  <c:v>99.8</c:v>
                </c:pt>
                <c:pt idx="4">
                  <c:v>95.3</c:v>
                </c:pt>
                <c:pt idx="5">
                  <c:v>95.7</c:v>
                </c:pt>
                <c:pt idx="6">
                  <c:v>105.3</c:v>
                </c:pt>
                <c:pt idx="7">
                  <c:v>85</c:v>
                </c:pt>
                <c:pt idx="8">
                  <c:v>96.2</c:v>
                </c:pt>
                <c:pt idx="9">
                  <c:v>90.6</c:v>
                </c:pt>
                <c:pt idx="10">
                  <c:v>91.1</c:v>
                </c:pt>
                <c:pt idx="11">
                  <c:v>83</c:v>
                </c:pt>
                <c:pt idx="12">
                  <c:v>98</c:v>
                </c:pt>
                <c:pt idx="13">
                  <c:v>90.7</c:v>
                </c:pt>
                <c:pt idx="14">
                  <c:v>100.3</c:v>
                </c:pt>
                <c:pt idx="15">
                  <c:v>103.8</c:v>
                </c:pt>
                <c:pt idx="16">
                  <c:v>88.2</c:v>
                </c:pt>
              </c:numCache>
            </c:numRef>
          </c:xVal>
          <c:yVal>
            <c:numRef>
              <c:f>'Hoja 1'!$E$15:$E$31</c:f>
              <c:numCache>
                <c:formatCode>General</c:formatCode>
                <c:ptCount val="17"/>
                <c:pt idx="0">
                  <c:v>6</c:v>
                </c:pt>
                <c:pt idx="1">
                  <c:v>5.9</c:v>
                </c:pt>
                <c:pt idx="2">
                  <c:v>5.8</c:v>
                </c:pt>
                <c:pt idx="3">
                  <c:v>6.3</c:v>
                </c:pt>
                <c:pt idx="4">
                  <c:v>5.9</c:v>
                </c:pt>
                <c:pt idx="5">
                  <c:v>6.2</c:v>
                </c:pt>
                <c:pt idx="6">
                  <c:v>6</c:v>
                </c:pt>
                <c:pt idx="7">
                  <c:v>5.6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5.6</c:v>
                </c:pt>
                <c:pt idx="12">
                  <c:v>5.7</c:v>
                </c:pt>
                <c:pt idx="13">
                  <c:v>5.6</c:v>
                </c:pt>
                <c:pt idx="14">
                  <c:v>6.3</c:v>
                </c:pt>
                <c:pt idx="15">
                  <c:v>6.4</c:v>
                </c:pt>
                <c:pt idx="1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BA-4B46-9D6C-71A616783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274611"/>
        <c:axId val="466169141"/>
      </c:scatterChart>
      <c:valAx>
        <c:axId val="371274611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6169141"/>
        <c:crosses val="autoZero"/>
        <c:crossBetween val="midCat"/>
      </c:valAx>
      <c:valAx>
        <c:axId val="4661691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2746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 = f(B)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1'!$E$13:$E$14</c:f>
              <c:strCache>
                <c:ptCount val="2"/>
                <c:pt idx="1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082959029659397"/>
                  <c:y val="-2.91438105552791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'Hoja 1'!$D$15:$D$31</c:f>
              <c:numCache>
                <c:formatCode>General</c:formatCode>
                <c:ptCount val="17"/>
                <c:pt idx="0">
                  <c:v>14.4</c:v>
                </c:pt>
                <c:pt idx="1">
                  <c:v>15.2</c:v>
                </c:pt>
                <c:pt idx="2">
                  <c:v>14.5</c:v>
                </c:pt>
                <c:pt idx="3">
                  <c:v>16.3</c:v>
                </c:pt>
                <c:pt idx="4">
                  <c:v>14.7</c:v>
                </c:pt>
                <c:pt idx="5">
                  <c:v>16</c:v>
                </c:pt>
                <c:pt idx="6">
                  <c:v>15.1</c:v>
                </c:pt>
                <c:pt idx="7">
                  <c:v>13.2</c:v>
                </c:pt>
                <c:pt idx="8">
                  <c:v>14.3</c:v>
                </c:pt>
                <c:pt idx="9">
                  <c:v>14.8</c:v>
                </c:pt>
                <c:pt idx="10">
                  <c:v>14.3</c:v>
                </c:pt>
                <c:pt idx="11">
                  <c:v>13.6</c:v>
                </c:pt>
                <c:pt idx="12">
                  <c:v>14.5</c:v>
                </c:pt>
                <c:pt idx="13">
                  <c:v>14.8</c:v>
                </c:pt>
                <c:pt idx="14">
                  <c:v>16.2</c:v>
                </c:pt>
                <c:pt idx="15">
                  <c:v>16.3</c:v>
                </c:pt>
                <c:pt idx="16">
                  <c:v>14.5</c:v>
                </c:pt>
              </c:numCache>
            </c:numRef>
          </c:xVal>
          <c:yVal>
            <c:numRef>
              <c:f>'Hoja 1'!$E$15:$E$31</c:f>
              <c:numCache>
                <c:formatCode>General</c:formatCode>
                <c:ptCount val="17"/>
                <c:pt idx="0">
                  <c:v>6</c:v>
                </c:pt>
                <c:pt idx="1">
                  <c:v>5.9</c:v>
                </c:pt>
                <c:pt idx="2">
                  <c:v>5.8</c:v>
                </c:pt>
                <c:pt idx="3">
                  <c:v>6.3</c:v>
                </c:pt>
                <c:pt idx="4">
                  <c:v>5.9</c:v>
                </c:pt>
                <c:pt idx="5">
                  <c:v>6.2</c:v>
                </c:pt>
                <c:pt idx="6">
                  <c:v>6</c:v>
                </c:pt>
                <c:pt idx="7">
                  <c:v>5.6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5.6</c:v>
                </c:pt>
                <c:pt idx="12">
                  <c:v>5.7</c:v>
                </c:pt>
                <c:pt idx="13">
                  <c:v>5.6</c:v>
                </c:pt>
                <c:pt idx="14">
                  <c:v>6.3</c:v>
                </c:pt>
                <c:pt idx="15">
                  <c:v>6.4</c:v>
                </c:pt>
                <c:pt idx="1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28-4C9F-BCCA-60B7E0BE4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604475"/>
        <c:axId val="977382603"/>
      </c:scatterChart>
      <c:valAx>
        <c:axId val="441604475"/>
        <c:scaling>
          <c:orientation val="minMax"/>
          <c:min val="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7382603"/>
        <c:crosses val="autoZero"/>
        <c:crossBetween val="midCat"/>
      </c:valAx>
      <c:valAx>
        <c:axId val="9773826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6044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Lpp = f(DWT)</a:t>
            </a:r>
          </a:p>
        </c:rich>
      </c:tx>
      <c:layout>
        <c:manualLayout>
          <c:xMode val="edge"/>
          <c:yMode val="edge"/>
          <c:x val="3.5000000000000003E-2"/>
          <c:y val="0.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1'!$C$13:$C$14</c:f>
              <c:strCache>
                <c:ptCount val="2"/>
                <c:pt idx="1">
                  <c:v>Lpp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159448818897633E-2"/>
                  <c:y val="0.18053131872029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'Hoja 1'!$G$15:$G$31</c:f>
              <c:numCache>
                <c:formatCode>General</c:formatCode>
                <c:ptCount val="17"/>
                <c:pt idx="0">
                  <c:v>4309</c:v>
                </c:pt>
                <c:pt idx="1">
                  <c:v>4337</c:v>
                </c:pt>
                <c:pt idx="2">
                  <c:v>3921</c:v>
                </c:pt>
                <c:pt idx="3">
                  <c:v>5420</c:v>
                </c:pt>
                <c:pt idx="4">
                  <c:v>4153</c:v>
                </c:pt>
                <c:pt idx="5">
                  <c:v>4550</c:v>
                </c:pt>
                <c:pt idx="6">
                  <c:v>4886</c:v>
                </c:pt>
                <c:pt idx="7">
                  <c:v>3868</c:v>
                </c:pt>
                <c:pt idx="8">
                  <c:v>3848</c:v>
                </c:pt>
                <c:pt idx="9">
                  <c:v>3793</c:v>
                </c:pt>
                <c:pt idx="10">
                  <c:v>3984</c:v>
                </c:pt>
                <c:pt idx="11">
                  <c:v>3258</c:v>
                </c:pt>
                <c:pt idx="12">
                  <c:v>3726</c:v>
                </c:pt>
                <c:pt idx="13">
                  <c:v>3624</c:v>
                </c:pt>
                <c:pt idx="14">
                  <c:v>5375</c:v>
                </c:pt>
                <c:pt idx="15">
                  <c:v>5594</c:v>
                </c:pt>
                <c:pt idx="16">
                  <c:v>4240</c:v>
                </c:pt>
              </c:numCache>
            </c:numRef>
          </c:xVal>
          <c:yVal>
            <c:numRef>
              <c:f>'Hoja 1'!$C$15:$C$31</c:f>
              <c:numCache>
                <c:formatCode>General</c:formatCode>
                <c:ptCount val="17"/>
                <c:pt idx="0" formatCode="0.0">
                  <c:v>97.679000000000002</c:v>
                </c:pt>
                <c:pt idx="1">
                  <c:v>92.1</c:v>
                </c:pt>
                <c:pt idx="2">
                  <c:v>90.6</c:v>
                </c:pt>
                <c:pt idx="3">
                  <c:v>99.8</c:v>
                </c:pt>
                <c:pt idx="4">
                  <c:v>95.3</c:v>
                </c:pt>
                <c:pt idx="5">
                  <c:v>95.7</c:v>
                </c:pt>
                <c:pt idx="6">
                  <c:v>105.3</c:v>
                </c:pt>
                <c:pt idx="7">
                  <c:v>85</c:v>
                </c:pt>
                <c:pt idx="8">
                  <c:v>96.2</c:v>
                </c:pt>
                <c:pt idx="9">
                  <c:v>90.6</c:v>
                </c:pt>
                <c:pt idx="10">
                  <c:v>91.1</c:v>
                </c:pt>
                <c:pt idx="11">
                  <c:v>83</c:v>
                </c:pt>
                <c:pt idx="12">
                  <c:v>98</c:v>
                </c:pt>
                <c:pt idx="13">
                  <c:v>90.7</c:v>
                </c:pt>
                <c:pt idx="14">
                  <c:v>100.3</c:v>
                </c:pt>
                <c:pt idx="15">
                  <c:v>103.8</c:v>
                </c:pt>
                <c:pt idx="16">
                  <c:v>88.2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42-45AF-80C8-B4CD0A79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736661"/>
        <c:axId val="1949919084"/>
      </c:scatterChart>
      <c:valAx>
        <c:axId val="1223736661"/>
        <c:scaling>
          <c:orientation val="minMax"/>
          <c:min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9919084"/>
        <c:crosses val="autoZero"/>
        <c:crossBetween val="midCat"/>
      </c:valAx>
      <c:valAx>
        <c:axId val="19499190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3736661"/>
        <c:crosses val="autoZero"/>
        <c:crossBetween val="midCat"/>
      </c:valAx>
      <c:spPr>
        <a:noFill/>
        <a:ln>
          <a:noFill/>
          <a:prstDash val="solid"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Δ </a:t>
            </a:r>
            <a:r>
              <a:rPr lang="pt-BR"/>
              <a:t>frente a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1'!$I$13:$I$14</c:f>
              <c:strCache>
                <c:ptCount val="2"/>
                <c:pt idx="1">
                  <c:v>Δ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060629921259842"/>
                  <c:y val="0.157207207207207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'Hoja 1'!$E$15:$E$31</c:f>
              <c:numCache>
                <c:formatCode>General</c:formatCode>
                <c:ptCount val="17"/>
                <c:pt idx="0">
                  <c:v>6</c:v>
                </c:pt>
                <c:pt idx="1">
                  <c:v>5.9</c:v>
                </c:pt>
                <c:pt idx="2">
                  <c:v>5.8</c:v>
                </c:pt>
                <c:pt idx="3">
                  <c:v>6.3</c:v>
                </c:pt>
                <c:pt idx="4">
                  <c:v>5.9</c:v>
                </c:pt>
                <c:pt idx="5">
                  <c:v>6.2</c:v>
                </c:pt>
                <c:pt idx="6">
                  <c:v>6</c:v>
                </c:pt>
                <c:pt idx="7">
                  <c:v>5.6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5.6</c:v>
                </c:pt>
                <c:pt idx="12">
                  <c:v>5.7</c:v>
                </c:pt>
                <c:pt idx="13">
                  <c:v>5.6</c:v>
                </c:pt>
                <c:pt idx="14">
                  <c:v>6.3</c:v>
                </c:pt>
                <c:pt idx="15">
                  <c:v>6.4</c:v>
                </c:pt>
                <c:pt idx="16">
                  <c:v>6</c:v>
                </c:pt>
              </c:numCache>
            </c:numRef>
          </c:xVal>
          <c:yVal>
            <c:numRef>
              <c:f>'Hoja 1'!$I$15:$I$31</c:f>
              <c:numCache>
                <c:formatCode>General</c:formatCode>
                <c:ptCount val="17"/>
                <c:pt idx="0">
                  <c:v>6879</c:v>
                </c:pt>
                <c:pt idx="1">
                  <c:v>6370</c:v>
                </c:pt>
                <c:pt idx="2">
                  <c:v>6087</c:v>
                </c:pt>
                <c:pt idx="3">
                  <c:v>8214</c:v>
                </c:pt>
                <c:pt idx="4">
                  <c:v>6467</c:v>
                </c:pt>
                <c:pt idx="5">
                  <c:v>8728</c:v>
                </c:pt>
                <c:pt idx="6">
                  <c:v>7670</c:v>
                </c:pt>
                <c:pt idx="7">
                  <c:v>5166</c:v>
                </c:pt>
                <c:pt idx="8">
                  <c:v>5838</c:v>
                </c:pt>
                <c:pt idx="9">
                  <c:v>6365</c:v>
                </c:pt>
                <c:pt idx="10">
                  <c:v>6180</c:v>
                </c:pt>
                <c:pt idx="11">
                  <c:v>5503</c:v>
                </c:pt>
                <c:pt idx="12">
                  <c:v>6390</c:v>
                </c:pt>
                <c:pt idx="13">
                  <c:v>6510</c:v>
                </c:pt>
                <c:pt idx="14">
                  <c:v>8463</c:v>
                </c:pt>
                <c:pt idx="15">
                  <c:v>8688</c:v>
                </c:pt>
                <c:pt idx="16">
                  <c:v>6309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5D-42DE-AF06-810FF98BC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2960"/>
        <c:axId val="115309087"/>
      </c:scatterChart>
      <c:valAx>
        <c:axId val="1000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309087"/>
        <c:crosses val="autoZero"/>
        <c:crossBetween val="midCat"/>
      </c:valAx>
      <c:valAx>
        <c:axId val="11530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2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415290</xdr:colOff>
      <xdr:row>48</xdr:row>
      <xdr:rowOff>102870</xdr:rowOff>
    </xdr:from>
    <xdr:ext cx="4124325" cy="25622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422910</xdr:colOff>
      <xdr:row>63</xdr:row>
      <xdr:rowOff>137160</xdr:rowOff>
    </xdr:from>
    <xdr:ext cx="4124325" cy="256222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590550</xdr:colOff>
      <xdr:row>48</xdr:row>
      <xdr:rowOff>95250</xdr:rowOff>
    </xdr:from>
    <xdr:ext cx="4124325" cy="256222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571500</xdr:colOff>
      <xdr:row>63</xdr:row>
      <xdr:rowOff>114300</xdr:rowOff>
    </xdr:from>
    <xdr:ext cx="4124325" cy="2562225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438150</xdr:colOff>
      <xdr:row>78</xdr:row>
      <xdr:rowOff>133350</xdr:rowOff>
    </xdr:from>
    <xdr:ext cx="4124325" cy="2562225"/>
    <xdr:graphicFrame macro="">
      <xdr:nvGraphicFramePr>
        <xdr:cNvPr id="6" name="Chart 5" title="Gráf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</xdr:col>
      <xdr:colOff>571500</xdr:colOff>
      <xdr:row>78</xdr:row>
      <xdr:rowOff>133350</xdr:rowOff>
    </xdr:from>
    <xdr:ext cx="4124325" cy="2562225"/>
    <xdr:graphicFrame macro="">
      <xdr:nvGraphicFramePr>
        <xdr:cNvPr id="7" name="Chart 6" title="Gráfic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828675</xdr:colOff>
      <xdr:row>108</xdr:row>
      <xdr:rowOff>85725</xdr:rowOff>
    </xdr:from>
    <xdr:ext cx="4572000" cy="2819400"/>
    <xdr:graphicFrame macro="">
      <xdr:nvGraphicFramePr>
        <xdr:cNvPr id="8" name="Chart 7" title="Gráfic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828675</xdr:colOff>
      <xdr:row>139</xdr:row>
      <xdr:rowOff>9525</xdr:rowOff>
    </xdr:from>
    <xdr:ext cx="4572000" cy="2819400"/>
    <xdr:graphicFrame macro="">
      <xdr:nvGraphicFramePr>
        <xdr:cNvPr id="9" name="Chart 8" title="Gráfic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3"/>
  <sheetViews>
    <sheetView tabSelected="1" topLeftCell="A116" workbookViewId="0">
      <selection activeCell="B136" sqref="B136"/>
    </sheetView>
  </sheetViews>
  <sheetFormatPr baseColWidth="10" defaultColWidth="12.6640625" defaultRowHeight="15.75" customHeight="1" x14ac:dyDescent="0.25"/>
  <cols>
    <col min="1" max="1" width="20.6640625" customWidth="1"/>
    <col min="2" max="2" width="13.88671875" customWidth="1"/>
  </cols>
  <sheetData>
    <row r="1" spans="1:11" ht="16.2" thickBot="1" x14ac:dyDescent="0.35">
      <c r="A1" s="33" t="s">
        <v>93</v>
      </c>
      <c r="B1" s="33"/>
      <c r="C1" s="33"/>
      <c r="D1" s="33"/>
      <c r="E1" s="33"/>
      <c r="F1" s="33"/>
      <c r="G1" s="33"/>
      <c r="H1" s="33"/>
      <c r="I1" s="33"/>
      <c r="J1" s="33"/>
    </row>
    <row r="2" spans="1:11" ht="15.75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 customHeight="1" x14ac:dyDescent="0.3">
      <c r="A3" s="3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</row>
    <row r="4" spans="1:11" ht="15.75" customHeight="1" x14ac:dyDescent="0.3">
      <c r="A4" s="3" t="s">
        <v>3</v>
      </c>
      <c r="B4" s="5">
        <v>1100</v>
      </c>
      <c r="C4" s="3" t="s">
        <v>4</v>
      </c>
      <c r="D4" s="2"/>
      <c r="E4" s="2"/>
      <c r="F4" s="2"/>
      <c r="G4" s="2"/>
      <c r="H4" s="2"/>
      <c r="I4" s="2"/>
      <c r="J4" s="2"/>
      <c r="K4" s="2"/>
    </row>
    <row r="5" spans="1:11" ht="15.75" customHeight="1" x14ac:dyDescent="0.3">
      <c r="A5" s="3" t="s">
        <v>5</v>
      </c>
      <c r="B5" s="5">
        <v>5560</v>
      </c>
      <c r="C5" s="3" t="s">
        <v>6</v>
      </c>
      <c r="D5" s="2"/>
      <c r="E5" s="2"/>
      <c r="F5" s="2"/>
      <c r="G5" s="2"/>
      <c r="H5" s="2"/>
      <c r="I5" s="2"/>
      <c r="J5" s="2"/>
      <c r="K5" s="2"/>
    </row>
    <row r="6" spans="1:11" ht="15.75" customHeight="1" x14ac:dyDescent="0.3">
      <c r="A6" s="3" t="s">
        <v>7</v>
      </c>
      <c r="B6" s="5">
        <v>5200</v>
      </c>
      <c r="C6" s="3" t="s">
        <v>8</v>
      </c>
      <c r="D6" s="2"/>
      <c r="E6" s="2"/>
      <c r="F6" s="2"/>
      <c r="G6" s="2"/>
      <c r="H6" s="2"/>
      <c r="I6" s="2"/>
      <c r="J6" s="2"/>
      <c r="K6" s="2"/>
    </row>
    <row r="7" spans="1:11" ht="15.75" customHeight="1" x14ac:dyDescent="0.3">
      <c r="A7" s="3" t="s">
        <v>9</v>
      </c>
      <c r="B7" s="5">
        <v>14.5</v>
      </c>
      <c r="C7" s="3" t="s">
        <v>10</v>
      </c>
      <c r="D7" s="2"/>
      <c r="E7" s="2"/>
      <c r="F7" s="2"/>
      <c r="G7" s="2"/>
      <c r="H7" s="2"/>
      <c r="I7" s="2"/>
      <c r="J7" s="2"/>
      <c r="K7" s="2"/>
    </row>
    <row r="8" spans="1:11" ht="15.75" customHeight="1" x14ac:dyDescent="0.3">
      <c r="A8" s="3" t="s">
        <v>11</v>
      </c>
      <c r="B8" s="5">
        <v>10000</v>
      </c>
      <c r="C8" s="3" t="s">
        <v>12</v>
      </c>
      <c r="D8" s="2"/>
      <c r="E8" s="2"/>
      <c r="F8" s="2"/>
      <c r="G8" s="2"/>
      <c r="H8" s="2"/>
      <c r="I8" s="2"/>
      <c r="J8" s="2"/>
      <c r="K8" s="2"/>
    </row>
    <row r="9" spans="1:11" ht="15.75" customHeight="1" x14ac:dyDescent="0.3">
      <c r="A9" s="3" t="s">
        <v>13</v>
      </c>
      <c r="B9" s="5" t="s">
        <v>14</v>
      </c>
      <c r="C9" s="3" t="s">
        <v>15</v>
      </c>
      <c r="D9" s="2"/>
      <c r="E9" s="2"/>
      <c r="F9" s="2"/>
      <c r="G9" s="2"/>
      <c r="H9" s="2"/>
      <c r="I9" s="2"/>
      <c r="J9" s="2"/>
      <c r="K9" s="2"/>
    </row>
    <row r="10" spans="1:11" ht="15.75" customHeight="1" x14ac:dyDescent="0.3">
      <c r="A10" s="3" t="s">
        <v>16</v>
      </c>
      <c r="B10" s="5">
        <v>1050</v>
      </c>
      <c r="C10" s="3" t="s">
        <v>17</v>
      </c>
      <c r="D10" s="2"/>
      <c r="E10" s="2"/>
      <c r="F10" s="2"/>
      <c r="G10" s="2"/>
      <c r="H10" s="2"/>
      <c r="I10" s="2"/>
      <c r="J10" s="2"/>
      <c r="K10" s="2"/>
    </row>
    <row r="11" spans="1:11" ht="15.75" customHeight="1" x14ac:dyDescent="0.3">
      <c r="A11" s="3" t="s">
        <v>18</v>
      </c>
      <c r="B11" s="3">
        <f>1.2*B5</f>
        <v>6672</v>
      </c>
      <c r="C11" s="3" t="s">
        <v>6</v>
      </c>
      <c r="D11" s="2"/>
      <c r="E11" s="2"/>
      <c r="F11" s="2"/>
      <c r="G11" s="2"/>
      <c r="H11" s="2"/>
      <c r="I11" s="2"/>
      <c r="J11" s="2"/>
      <c r="K11" s="2"/>
    </row>
    <row r="12" spans="1:11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customHeight="1" x14ac:dyDescent="0.3">
      <c r="A13" s="1" t="s">
        <v>19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customHeight="1" x14ac:dyDescent="0.3">
      <c r="A14" s="6" t="s">
        <v>20</v>
      </c>
      <c r="B14" s="7" t="s">
        <v>21</v>
      </c>
      <c r="C14" s="7" t="s">
        <v>22</v>
      </c>
      <c r="D14" s="7" t="s">
        <v>23</v>
      </c>
      <c r="E14" s="7" t="s">
        <v>24</v>
      </c>
      <c r="F14" s="7" t="s">
        <v>25</v>
      </c>
      <c r="G14" s="7" t="s">
        <v>26</v>
      </c>
      <c r="H14" s="7" t="s">
        <v>27</v>
      </c>
      <c r="I14" s="7" t="s">
        <v>28</v>
      </c>
      <c r="J14" s="7" t="s">
        <v>29</v>
      </c>
      <c r="K14" s="2"/>
    </row>
    <row r="15" spans="1:11" ht="15.75" customHeight="1" x14ac:dyDescent="0.3">
      <c r="A15" s="8" t="s">
        <v>30</v>
      </c>
      <c r="B15" s="9">
        <v>100.7</v>
      </c>
      <c r="C15" s="10">
        <f>0.97*B15</f>
        <v>97.679000000000002</v>
      </c>
      <c r="D15" s="9">
        <v>14.4</v>
      </c>
      <c r="E15" s="9">
        <v>6</v>
      </c>
      <c r="F15" s="9">
        <v>7.6</v>
      </c>
      <c r="G15" s="9">
        <v>4309</v>
      </c>
      <c r="H15" s="9">
        <v>4626</v>
      </c>
      <c r="I15" s="9">
        <v>6879</v>
      </c>
      <c r="J15" s="9">
        <v>12</v>
      </c>
      <c r="K15" s="2"/>
    </row>
    <row r="16" spans="1:11" ht="15.75" customHeight="1" x14ac:dyDescent="0.3">
      <c r="A16" s="8" t="s">
        <v>31</v>
      </c>
      <c r="B16" s="9">
        <v>95.7</v>
      </c>
      <c r="C16" s="9">
        <v>92.1</v>
      </c>
      <c r="D16" s="9">
        <v>15.2</v>
      </c>
      <c r="E16" s="9">
        <v>5.9</v>
      </c>
      <c r="F16" s="9">
        <v>8.1999999999999993</v>
      </c>
      <c r="G16" s="9">
        <v>4337</v>
      </c>
      <c r="H16" s="9">
        <v>4178</v>
      </c>
      <c r="I16" s="9">
        <v>6370</v>
      </c>
      <c r="J16" s="9">
        <v>14</v>
      </c>
      <c r="K16" s="2"/>
    </row>
    <row r="17" spans="1:11" ht="15.75" customHeight="1" x14ac:dyDescent="0.3">
      <c r="A17" s="8" t="s">
        <v>32</v>
      </c>
      <c r="B17" s="9">
        <v>93.4</v>
      </c>
      <c r="C17" s="9">
        <v>90.6</v>
      </c>
      <c r="D17" s="9">
        <v>14.5</v>
      </c>
      <c r="E17" s="9">
        <v>5.8</v>
      </c>
      <c r="F17" s="9">
        <v>7.2</v>
      </c>
      <c r="G17" s="9">
        <v>3921</v>
      </c>
      <c r="H17" s="9">
        <v>3870</v>
      </c>
      <c r="I17" s="9">
        <v>6087</v>
      </c>
      <c r="J17" s="9">
        <v>13</v>
      </c>
      <c r="K17" s="2"/>
    </row>
    <row r="18" spans="1:11" ht="15.75" customHeight="1" x14ac:dyDescent="0.3">
      <c r="A18" s="8" t="s">
        <v>33</v>
      </c>
      <c r="B18" s="9">
        <v>101.8</v>
      </c>
      <c r="C18" s="9">
        <v>99.8</v>
      </c>
      <c r="D18" s="9">
        <v>16.3</v>
      </c>
      <c r="E18" s="9">
        <v>6.3</v>
      </c>
      <c r="F18" s="9">
        <v>8</v>
      </c>
      <c r="G18" s="9">
        <v>5420</v>
      </c>
      <c r="H18" s="9">
        <v>6108</v>
      </c>
      <c r="I18" s="9">
        <v>8214</v>
      </c>
      <c r="J18" s="9">
        <v>13</v>
      </c>
      <c r="K18" s="2"/>
    </row>
    <row r="19" spans="1:11" ht="15.75" customHeight="1" x14ac:dyDescent="0.3">
      <c r="A19" s="8" t="s">
        <v>34</v>
      </c>
      <c r="B19" s="9">
        <v>103.8</v>
      </c>
      <c r="C19" s="9">
        <v>95.3</v>
      </c>
      <c r="D19" s="9">
        <v>14.7</v>
      </c>
      <c r="E19" s="9">
        <v>5.9</v>
      </c>
      <c r="F19" s="9">
        <v>7.2</v>
      </c>
      <c r="G19" s="9">
        <v>4153</v>
      </c>
      <c r="H19" s="9">
        <v>4826</v>
      </c>
      <c r="I19" s="9">
        <v>6467</v>
      </c>
      <c r="J19" s="9">
        <v>13</v>
      </c>
      <c r="K19" s="2"/>
    </row>
    <row r="20" spans="1:11" ht="15.75" customHeight="1" x14ac:dyDescent="0.3">
      <c r="A20" s="8" t="s">
        <v>35</v>
      </c>
      <c r="B20" s="9">
        <v>98.2</v>
      </c>
      <c r="C20" s="9">
        <v>95.7</v>
      </c>
      <c r="D20" s="9">
        <v>16</v>
      </c>
      <c r="E20" s="9">
        <v>6.2</v>
      </c>
      <c r="F20" s="9">
        <v>8.1</v>
      </c>
      <c r="G20" s="9">
        <v>4550</v>
      </c>
      <c r="H20" s="9">
        <v>5141</v>
      </c>
      <c r="I20" s="9">
        <v>8728</v>
      </c>
      <c r="J20" s="9">
        <v>13</v>
      </c>
      <c r="K20" s="2"/>
    </row>
    <row r="21" spans="1:11" ht="15.75" customHeight="1" x14ac:dyDescent="0.3">
      <c r="A21" s="8" t="s">
        <v>36</v>
      </c>
      <c r="B21" s="9">
        <v>106.9</v>
      </c>
      <c r="C21" s="9">
        <v>105.3</v>
      </c>
      <c r="D21" s="9">
        <v>15.1</v>
      </c>
      <c r="E21" s="9">
        <v>6</v>
      </c>
      <c r="F21" s="9">
        <v>7.6</v>
      </c>
      <c r="G21" s="9">
        <v>4886</v>
      </c>
      <c r="H21" s="9">
        <v>5599</v>
      </c>
      <c r="I21" s="9">
        <v>7670</v>
      </c>
      <c r="J21" s="9">
        <v>13</v>
      </c>
      <c r="K21" s="2"/>
    </row>
    <row r="22" spans="1:11" ht="15.75" customHeight="1" x14ac:dyDescent="0.3">
      <c r="A22" s="8" t="s">
        <v>37</v>
      </c>
      <c r="B22" s="9">
        <v>87.5</v>
      </c>
      <c r="C22" s="9">
        <v>85</v>
      </c>
      <c r="D22" s="9">
        <v>13.2</v>
      </c>
      <c r="E22" s="9">
        <v>5.6</v>
      </c>
      <c r="F22" s="9">
        <v>7.1</v>
      </c>
      <c r="G22" s="9">
        <v>3868</v>
      </c>
      <c r="H22" s="9">
        <v>3767</v>
      </c>
      <c r="I22" s="9">
        <v>5166</v>
      </c>
      <c r="J22" s="9">
        <v>12</v>
      </c>
      <c r="K22" s="2"/>
    </row>
    <row r="23" spans="1:11" ht="15.75" customHeight="1" x14ac:dyDescent="0.3">
      <c r="A23" s="8" t="s">
        <v>38</v>
      </c>
      <c r="B23" s="9">
        <v>97.7</v>
      </c>
      <c r="C23" s="9">
        <v>96.2</v>
      </c>
      <c r="D23" s="9">
        <v>14.3</v>
      </c>
      <c r="E23" s="9">
        <v>5.8</v>
      </c>
      <c r="F23" s="9">
        <v>6.7</v>
      </c>
      <c r="G23" s="9">
        <v>3848</v>
      </c>
      <c r="H23" s="9">
        <v>3868</v>
      </c>
      <c r="I23" s="9">
        <v>5838</v>
      </c>
      <c r="J23" s="9">
        <v>14</v>
      </c>
      <c r="K23" s="2"/>
    </row>
    <row r="24" spans="1:11" ht="15.75" customHeight="1" x14ac:dyDescent="0.3">
      <c r="A24" s="8" t="s">
        <v>39</v>
      </c>
      <c r="B24" s="9">
        <v>91.8</v>
      </c>
      <c r="C24" s="9">
        <v>90.6</v>
      </c>
      <c r="D24" s="9">
        <v>14.8</v>
      </c>
      <c r="E24" s="9">
        <v>5.8</v>
      </c>
      <c r="F24" s="9">
        <v>8.1</v>
      </c>
      <c r="G24" s="9">
        <v>3793</v>
      </c>
      <c r="H24" s="9">
        <v>3846</v>
      </c>
      <c r="I24" s="9">
        <v>6365</v>
      </c>
      <c r="J24" s="9">
        <v>12</v>
      </c>
      <c r="K24" s="2"/>
    </row>
    <row r="25" spans="1:11" ht="15.75" customHeight="1" x14ac:dyDescent="0.3">
      <c r="A25" s="8" t="s">
        <v>40</v>
      </c>
      <c r="B25" s="9">
        <v>93.4</v>
      </c>
      <c r="C25" s="9">
        <v>91.1</v>
      </c>
      <c r="D25" s="9">
        <v>14.3</v>
      </c>
      <c r="E25" s="9">
        <v>5.8</v>
      </c>
      <c r="F25" s="9">
        <v>7.4</v>
      </c>
      <c r="G25" s="9">
        <v>3984</v>
      </c>
      <c r="H25" s="9">
        <v>3870</v>
      </c>
      <c r="I25" s="9">
        <v>6180</v>
      </c>
      <c r="J25" s="9">
        <v>13</v>
      </c>
      <c r="K25" s="2"/>
    </row>
    <row r="26" spans="1:11" ht="15.75" customHeight="1" x14ac:dyDescent="0.3">
      <c r="A26" s="8" t="s">
        <v>41</v>
      </c>
      <c r="B26" s="9">
        <v>84.2</v>
      </c>
      <c r="C26" s="9">
        <v>83</v>
      </c>
      <c r="D26" s="9">
        <v>13.6</v>
      </c>
      <c r="E26" s="9">
        <v>5.6</v>
      </c>
      <c r="F26" s="9">
        <v>7.1</v>
      </c>
      <c r="G26" s="9">
        <v>3258</v>
      </c>
      <c r="H26" s="9">
        <v>3258</v>
      </c>
      <c r="I26" s="9">
        <v>5503</v>
      </c>
      <c r="J26" s="9">
        <v>11</v>
      </c>
      <c r="K26" s="2"/>
    </row>
    <row r="27" spans="1:11" ht="15.75" customHeight="1" x14ac:dyDescent="0.3">
      <c r="A27" s="8" t="s">
        <v>42</v>
      </c>
      <c r="B27" s="9">
        <v>99.6</v>
      </c>
      <c r="C27" s="9">
        <v>98</v>
      </c>
      <c r="D27" s="9">
        <v>14.5</v>
      </c>
      <c r="E27" s="9">
        <v>5.7</v>
      </c>
      <c r="F27" s="9">
        <v>6.9</v>
      </c>
      <c r="G27" s="9">
        <v>3726</v>
      </c>
      <c r="H27" s="9">
        <v>3910</v>
      </c>
      <c r="I27" s="9">
        <v>6390</v>
      </c>
      <c r="J27" s="9">
        <v>13</v>
      </c>
      <c r="K27" s="2"/>
    </row>
    <row r="28" spans="1:11" ht="15.75" customHeight="1" x14ac:dyDescent="0.3">
      <c r="A28" s="8" t="s">
        <v>43</v>
      </c>
      <c r="B28" s="9">
        <v>92.8</v>
      </c>
      <c r="C28" s="9">
        <v>90.7</v>
      </c>
      <c r="D28" s="9">
        <v>14.8</v>
      </c>
      <c r="E28" s="9">
        <v>5.6</v>
      </c>
      <c r="F28" s="9">
        <v>6.9</v>
      </c>
      <c r="G28" s="9">
        <v>3624</v>
      </c>
      <c r="H28" s="9">
        <v>3805</v>
      </c>
      <c r="I28" s="9">
        <v>6510</v>
      </c>
      <c r="J28" s="9">
        <v>11</v>
      </c>
      <c r="K28" s="2"/>
    </row>
    <row r="29" spans="1:11" ht="15.75" customHeight="1" x14ac:dyDescent="0.3">
      <c r="A29" s="8" t="s">
        <v>44</v>
      </c>
      <c r="B29" s="9">
        <v>103.8</v>
      </c>
      <c r="C29" s="9">
        <v>100.3</v>
      </c>
      <c r="D29" s="9">
        <v>16.2</v>
      </c>
      <c r="E29" s="9">
        <v>6.3</v>
      </c>
      <c r="F29" s="9">
        <v>8</v>
      </c>
      <c r="G29" s="9">
        <v>5375</v>
      </c>
      <c r="H29" s="9">
        <v>5650</v>
      </c>
      <c r="I29" s="9">
        <v>8463</v>
      </c>
      <c r="J29" s="9">
        <v>13</v>
      </c>
      <c r="K29" s="2"/>
    </row>
    <row r="30" spans="1:11" ht="15.75" customHeight="1" x14ac:dyDescent="0.3">
      <c r="A30" s="8" t="s">
        <v>45</v>
      </c>
      <c r="B30" s="9">
        <v>105.9</v>
      </c>
      <c r="C30" s="9">
        <v>103.8</v>
      </c>
      <c r="D30" s="9">
        <v>16.3</v>
      </c>
      <c r="E30" s="9">
        <v>6.4</v>
      </c>
      <c r="F30" s="9">
        <v>8</v>
      </c>
      <c r="G30" s="9">
        <v>5594</v>
      </c>
      <c r="H30" s="9">
        <v>5482</v>
      </c>
      <c r="I30" s="9">
        <v>8688</v>
      </c>
      <c r="J30" s="9">
        <v>13</v>
      </c>
      <c r="K30" s="2"/>
    </row>
    <row r="31" spans="1:11" ht="15.75" customHeight="1" x14ac:dyDescent="0.3">
      <c r="A31" s="8" t="s">
        <v>46</v>
      </c>
      <c r="B31" s="9">
        <v>89.6</v>
      </c>
      <c r="C31" s="9">
        <v>88.2</v>
      </c>
      <c r="D31" s="9">
        <v>14.5</v>
      </c>
      <c r="E31" s="9">
        <v>6</v>
      </c>
      <c r="F31" s="9">
        <v>7.6</v>
      </c>
      <c r="G31" s="9">
        <v>4240</v>
      </c>
      <c r="H31" s="9">
        <v>4581</v>
      </c>
      <c r="I31" s="9">
        <v>6309</v>
      </c>
      <c r="J31" s="9">
        <v>12</v>
      </c>
      <c r="K31" s="2"/>
    </row>
    <row r="32" spans="1:11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26" ht="14.4" x14ac:dyDescent="0.3">
      <c r="A33" s="11" t="s">
        <v>47</v>
      </c>
      <c r="B33" s="12">
        <f t="shared" ref="B33:J33" si="0">AVERAGE(B15:B31)</f>
        <v>96.870588235294122</v>
      </c>
      <c r="C33" s="13">
        <f t="shared" si="0"/>
        <v>94.31641176470589</v>
      </c>
      <c r="D33" s="12">
        <f t="shared" si="0"/>
        <v>14.864705882352943</v>
      </c>
      <c r="E33" s="12">
        <f t="shared" si="0"/>
        <v>5.9235294117647053</v>
      </c>
      <c r="F33" s="12">
        <f t="shared" si="0"/>
        <v>7.5117647058823529</v>
      </c>
      <c r="G33" s="12">
        <f t="shared" si="0"/>
        <v>4287.411764705882</v>
      </c>
      <c r="H33" s="12">
        <f t="shared" si="0"/>
        <v>4493.2352941176468</v>
      </c>
      <c r="I33" s="12">
        <f t="shared" si="0"/>
        <v>6813.3529411764703</v>
      </c>
      <c r="J33" s="14">
        <f t="shared" si="0"/>
        <v>12.647058823529411</v>
      </c>
      <c r="K33" s="2"/>
    </row>
    <row r="34" spans="1:26" ht="14.4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8" spans="1:26" ht="13.2" x14ac:dyDescent="0.25">
      <c r="A38" s="15" t="s">
        <v>48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40" spans="1:26" ht="13.2" x14ac:dyDescent="0.25">
      <c r="B40" s="17" t="s">
        <v>49</v>
      </c>
      <c r="C40" s="18">
        <f>((B6*1000)/B5)</f>
        <v>935.25179856115108</v>
      </c>
    </row>
    <row r="41" spans="1:26" ht="13.2" x14ac:dyDescent="0.25">
      <c r="A41" s="19" t="s">
        <v>50</v>
      </c>
      <c r="B41" s="20" t="str">
        <f>IF(C40&lt;B10, "Vaixell de pes", "Vaixell de volum")</f>
        <v>Vaixell de pes</v>
      </c>
      <c r="C41" s="21" t="s">
        <v>51</v>
      </c>
    </row>
    <row r="42" spans="1:26" ht="13.2" x14ac:dyDescent="0.25">
      <c r="A42" s="22"/>
    </row>
    <row r="44" spans="1:26" ht="13.2" x14ac:dyDescent="0.25">
      <c r="A44" s="15" t="s">
        <v>52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3.2" x14ac:dyDescent="0.25">
      <c r="A45" s="15" t="s">
        <v>53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3.2" x14ac:dyDescent="0.25">
      <c r="A46" s="15" t="s">
        <v>54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3.2" x14ac:dyDescent="0.25">
      <c r="A47" s="15" t="s">
        <v>55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94" spans="1:3" ht="13.2" x14ac:dyDescent="0.25">
      <c r="A94" s="23" t="s">
        <v>56</v>
      </c>
    </row>
    <row r="96" spans="1:3" ht="13.2" x14ac:dyDescent="0.25">
      <c r="B96" s="24" t="s">
        <v>57</v>
      </c>
      <c r="C96" s="24" t="s">
        <v>58</v>
      </c>
    </row>
    <row r="97" spans="1:9" ht="13.2" x14ac:dyDescent="0.25">
      <c r="B97" s="17" t="s">
        <v>59</v>
      </c>
      <c r="C97" s="17">
        <v>0.78</v>
      </c>
    </row>
    <row r="98" spans="1:9" ht="13.2" x14ac:dyDescent="0.25">
      <c r="B98" s="17" t="s">
        <v>60</v>
      </c>
      <c r="C98" s="17">
        <v>0.53300000000000003</v>
      </c>
    </row>
    <row r="99" spans="1:9" ht="13.2" x14ac:dyDescent="0.25">
      <c r="B99" s="17" t="s">
        <v>61</v>
      </c>
      <c r="C99" s="17">
        <v>0.51800000000000002</v>
      </c>
    </row>
    <row r="100" spans="1:9" ht="13.2" x14ac:dyDescent="0.25">
      <c r="I100" s="25"/>
    </row>
    <row r="103" spans="1:9" ht="13.2" x14ac:dyDescent="0.25">
      <c r="A103" s="15" t="s">
        <v>62</v>
      </c>
    </row>
    <row r="104" spans="1:9" ht="13.2" x14ac:dyDescent="0.25">
      <c r="A104" s="15" t="s">
        <v>63</v>
      </c>
    </row>
    <row r="105" spans="1:9" ht="13.2" x14ac:dyDescent="0.25">
      <c r="A105" s="15" t="s">
        <v>64</v>
      </c>
    </row>
    <row r="107" spans="1:9" ht="13.2" x14ac:dyDescent="0.25">
      <c r="A107" s="23" t="s">
        <v>65</v>
      </c>
    </row>
    <row r="125" spans="1:4" ht="13.2" x14ac:dyDescent="0.25">
      <c r="B125" s="17" t="s">
        <v>66</v>
      </c>
      <c r="C125" s="26">
        <f>0.00706*5200+ 64</f>
        <v>100.712</v>
      </c>
      <c r="D125" s="23" t="s">
        <v>67</v>
      </c>
    </row>
    <row r="128" spans="1:4" ht="13.2" x14ac:dyDescent="0.25">
      <c r="A128" s="15" t="s">
        <v>68</v>
      </c>
    </row>
    <row r="129" spans="1:3" ht="13.2" x14ac:dyDescent="0.25">
      <c r="A129" s="15" t="s">
        <v>69</v>
      </c>
    </row>
    <row r="130" spans="1:3" ht="13.2" x14ac:dyDescent="0.25">
      <c r="A130" s="15" t="s">
        <v>70</v>
      </c>
    </row>
    <row r="131" spans="1:3" ht="13.2" x14ac:dyDescent="0.25">
      <c r="A131" s="15" t="s">
        <v>71</v>
      </c>
    </row>
    <row r="133" spans="1:3" ht="13.2" x14ac:dyDescent="0.25">
      <c r="A133" s="24" t="s">
        <v>72</v>
      </c>
      <c r="B133" s="27"/>
    </row>
    <row r="134" spans="1:3" ht="13.2" x14ac:dyDescent="0.25">
      <c r="A134" s="17" t="s">
        <v>73</v>
      </c>
      <c r="B134" s="26">
        <f>0.105*100.7 + 5</f>
        <v>15.573499999999999</v>
      </c>
      <c r="C134" s="23" t="s">
        <v>67</v>
      </c>
    </row>
    <row r="135" spans="1:3" ht="13.2" x14ac:dyDescent="0.25">
      <c r="A135" s="17" t="s">
        <v>74</v>
      </c>
      <c r="B135" s="26">
        <f>0.248*15.6 + 2.23</f>
        <v>6.0987999999999998</v>
      </c>
      <c r="C135" s="23" t="s">
        <v>67</v>
      </c>
    </row>
    <row r="136" spans="1:3" ht="13.2" x14ac:dyDescent="0.25">
      <c r="A136" s="17" t="s">
        <v>75</v>
      </c>
      <c r="B136" s="26">
        <f>1.41*6.1 + -0.853</f>
        <v>7.7479999999999993</v>
      </c>
      <c r="C136" s="23" t="s">
        <v>67</v>
      </c>
    </row>
    <row r="137" spans="1:3" ht="13.2" x14ac:dyDescent="0.25">
      <c r="A137" s="17" t="s">
        <v>76</v>
      </c>
      <c r="B137" s="26">
        <f>3993*6.1 + -16838</f>
        <v>7519.2999999999993</v>
      </c>
      <c r="C137" s="23" t="s">
        <v>77</v>
      </c>
    </row>
    <row r="156" spans="1:4" ht="13.2" x14ac:dyDescent="0.25">
      <c r="A156" s="28" t="s">
        <v>78</v>
      </c>
    </row>
    <row r="157" spans="1:4" ht="13.2" x14ac:dyDescent="0.25">
      <c r="A157" s="23" t="s">
        <v>79</v>
      </c>
      <c r="B157" s="29">
        <f>1-3/8*((15.6/100.7)+1)*(14.5/SQRT(100.7))</f>
        <v>0.37420112387320981</v>
      </c>
      <c r="D157" s="19" t="s">
        <v>80</v>
      </c>
    </row>
    <row r="158" spans="1:4" ht="13.2" x14ac:dyDescent="0.25">
      <c r="A158" s="23" t="s">
        <v>81</v>
      </c>
      <c r="B158" s="30">
        <f>D158-(0.5*14.5)/SQRT(3.28*100.7)</f>
        <v>0.72107950483834049</v>
      </c>
      <c r="D158" s="23">
        <v>1.1200000000000001</v>
      </c>
    </row>
    <row r="160" spans="1:4" ht="13.2" x14ac:dyDescent="0.25">
      <c r="A160" s="23" t="s">
        <v>82</v>
      </c>
    </row>
    <row r="161" spans="1:5" ht="13.2" x14ac:dyDescent="0.25">
      <c r="A161" s="23" t="s">
        <v>83</v>
      </c>
    </row>
    <row r="164" spans="1:5" ht="13.2" x14ac:dyDescent="0.25">
      <c r="A164" s="28" t="s">
        <v>84</v>
      </c>
    </row>
    <row r="165" spans="1:5" ht="13.2" x14ac:dyDescent="0.25">
      <c r="A165" s="28" t="s">
        <v>85</v>
      </c>
      <c r="B165" s="31">
        <f>1.006-0.0056*B158^(-3.56)</f>
        <v>0.9880622483660626</v>
      </c>
    </row>
    <row r="166" spans="1:5" ht="13.2" x14ac:dyDescent="0.25">
      <c r="A166" s="28" t="s">
        <v>86</v>
      </c>
      <c r="B166" s="32">
        <f>1/(1+(1-B158)^3.5)</f>
        <v>0.98866992409965571</v>
      </c>
    </row>
    <row r="169" spans="1:5" ht="13.2" x14ac:dyDescent="0.25">
      <c r="A169" s="28" t="s">
        <v>87</v>
      </c>
    </row>
    <row r="170" spans="1:5" ht="13.2" x14ac:dyDescent="0.25">
      <c r="A170" s="28" t="s">
        <v>88</v>
      </c>
      <c r="B170" s="30">
        <f>B158/B166</f>
        <v>0.72934301657350431</v>
      </c>
      <c r="D170" s="23" t="s">
        <v>89</v>
      </c>
      <c r="E170" s="23" t="s">
        <v>90</v>
      </c>
    </row>
    <row r="172" spans="1:5" ht="13.2" x14ac:dyDescent="0.25">
      <c r="A172" s="28" t="s">
        <v>91</v>
      </c>
    </row>
    <row r="173" spans="1:5" ht="13.2" x14ac:dyDescent="0.25">
      <c r="A173" s="28" t="s">
        <v>92</v>
      </c>
      <c r="B173" s="30">
        <f>(((17.5*B170-12.5)*C125)/100)</f>
        <v>0.26537892990138379</v>
      </c>
    </row>
  </sheetData>
  <mergeCells count="1">
    <mergeCell ref="A1:J1"/>
  </mergeCells>
  <conditionalFormatting sqref="A42">
    <cfRule type="notContainsBlanks" dxfId="0" priority="1">
      <formula>LEN(TRIM(A42))&gt;0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Aex Oiveira</cp:lastModifiedBy>
  <dcterms:modified xsi:type="dcterms:W3CDTF">2025-10-17T12:31:19Z</dcterms:modified>
</cp:coreProperties>
</file>
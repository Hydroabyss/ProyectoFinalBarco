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lculos" sheetId="1" r:id="rId4"/>
  </sheets>
  <definedNames/>
  <calcPr/>
  <extLst>
    <ext uri="GoogleSheetsCustomDataVersion2">
      <go:sheetsCustomData xmlns:go="http://customooxmlschemas.google.com/" r:id="rId5" roundtripDataChecksum="FqBRF4atiH5Zspq7d9UUIRwBJAc58psovAf5f8Y3tM4="/>
    </ext>
  </extLst>
</workbook>
</file>

<file path=xl/sharedStrings.xml><?xml version="1.0" encoding="utf-8"?>
<sst xmlns="http://schemas.openxmlformats.org/spreadsheetml/2006/main" count="47" uniqueCount="32">
  <si>
    <t xml:space="preserve">A.- Determinar la posición de los mamparos de proa y popa de cámara de máquinas y de pique de proa. Nota: La clara de cuadernas será de de 700 mm en la zona central y 600 mm a popa del mamparo de proa de cámara de máquinas y a proa del pique de proa. </t>
  </si>
  <si>
    <t>Lpp</t>
  </si>
  <si>
    <t>m</t>
  </si>
  <si>
    <t>B</t>
  </si>
  <si>
    <t>T</t>
  </si>
  <si>
    <t>D</t>
  </si>
  <si>
    <t>P</t>
  </si>
  <si>
    <t>kW</t>
  </si>
  <si>
    <t>Lap</t>
  </si>
  <si>
    <t>Cuadernas</t>
  </si>
  <si>
    <t>0,6 m</t>
  </si>
  <si>
    <t>Lfp</t>
  </si>
  <si>
    <t>Ler</t>
  </si>
  <si>
    <t>Área de carga</t>
  </si>
  <si>
    <t>0,7 m</t>
  </si>
  <si>
    <t xml:space="preserve">B.- Disponer en el plano de disposición, los principales elementos delimitadores de espacios (doble fondo, doble casco, cubiertas, mamparos transversales y mamparos longitudinales). Indicar la disposición del motor principal y de los tanques de alimentación del motor principal. Nota: La disposición se hará siguiendo el esquema de la cuaderna maestra que se muestra en la Figura 1. </t>
  </si>
  <si>
    <t>Hdb</t>
  </si>
  <si>
    <t>Vdc</t>
  </si>
  <si>
    <t xml:space="preserve">C.- Estimar el volumen de los principales tanques de consumos, disponerlos y cubicarlos en un modelo de Maxsurf stability. </t>
  </si>
  <si>
    <t>Vb</t>
  </si>
  <si>
    <t>Kn</t>
  </si>
  <si>
    <t>V combustible</t>
  </si>
  <si>
    <t>m3</t>
  </si>
  <si>
    <t>Den. Combustible</t>
  </si>
  <si>
    <t>kg/m3</t>
  </si>
  <si>
    <t>Autonomía</t>
  </si>
  <si>
    <t>C1</t>
  </si>
  <si>
    <t>C2</t>
  </si>
  <si>
    <t>Lcm</t>
  </si>
  <si>
    <t>Vcm</t>
  </si>
  <si>
    <t xml:space="preserve">D.- Completar el modelo de Maxsurf stability, insertando los diferentes espacios identificados en A y B. </t>
  </si>
  <si>
    <t xml:space="preserve">E.- Verificar mediante Maxsurf stability si la capacidad de los tanques de carga es suficiente o no para cumplir con las especificaciones de proyecto.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</si>
</sst>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3" numFmtId="2" xfId="0" applyFill="1" applyFont="1" applyNumberFormat="1"/>
    <xf borderId="0" fillId="0" fontId="3" numFmtId="1" xfId="0" applyFont="1" applyNumberFormat="1"/>
    <xf borderId="0" fillId="2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2" xfId="0" applyFont="1" applyNumberFormat="1"/>
    <xf borderId="0" fillId="0" fontId="3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219075</xdr:colOff>
      <xdr:row>14</xdr:row>
      <xdr:rowOff>628650</xdr:rowOff>
    </xdr:from>
    <xdr:ext cx="5981700" cy="800100"/>
    <xdr:pic>
      <xdr:nvPicPr>
        <xdr:cNvPr id="0" name="image1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819150</xdr:colOff>
      <xdr:row>21</xdr:row>
      <xdr:rowOff>533400</xdr:rowOff>
    </xdr:from>
    <xdr:ext cx="4867275" cy="3400425"/>
    <xdr:pic>
      <xdr:nvPicPr>
        <xdr:cNvPr id="0" name="image3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723900</xdr:colOff>
      <xdr:row>21</xdr:row>
      <xdr:rowOff>533400</xdr:rowOff>
    </xdr:from>
    <xdr:ext cx="4876800" cy="2895600"/>
    <xdr:pic>
      <xdr:nvPicPr>
        <xdr:cNvPr id="0" name="image2.png" title="Imat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6" width="10.63"/>
  </cols>
  <sheetData>
    <row r="1" ht="14.25" customHeight="1"/>
    <row r="2" ht="14.25" customHeight="1"/>
    <row r="3" ht="82.5" customHeight="1">
      <c r="A3" s="1" t="s">
        <v>0</v>
      </c>
    </row>
    <row r="4" ht="14.25" customHeight="1">
      <c r="A4" s="2" t="s">
        <v>1</v>
      </c>
      <c r="B4" s="2">
        <v>105.2</v>
      </c>
      <c r="C4" s="3" t="s">
        <v>2</v>
      </c>
    </row>
    <row r="5" ht="14.25" customHeight="1">
      <c r="A5" s="2" t="s">
        <v>3</v>
      </c>
      <c r="B5" s="2">
        <v>15.6</v>
      </c>
      <c r="C5" s="2" t="s">
        <v>2</v>
      </c>
    </row>
    <row r="6" ht="14.25" customHeight="1">
      <c r="A6" s="2" t="s">
        <v>4</v>
      </c>
      <c r="B6" s="2">
        <v>7.7</v>
      </c>
      <c r="C6" s="2" t="s">
        <v>2</v>
      </c>
    </row>
    <row r="7" ht="14.25" customHeight="1">
      <c r="A7" s="2" t="s">
        <v>5</v>
      </c>
      <c r="B7" s="2">
        <v>6.2</v>
      </c>
      <c r="C7" s="2" t="s">
        <v>2</v>
      </c>
    </row>
    <row r="8" ht="14.25" customHeight="1">
      <c r="A8" s="3" t="s">
        <v>6</v>
      </c>
      <c r="B8" s="2">
        <v>5440.0</v>
      </c>
      <c r="C8" s="3" t="s">
        <v>7</v>
      </c>
    </row>
    <row r="9" ht="14.25" customHeight="1">
      <c r="A9" s="3" t="s">
        <v>8</v>
      </c>
      <c r="B9" s="4">
        <f>6.13</f>
        <v>6.13</v>
      </c>
      <c r="C9" s="3" t="s">
        <v>2</v>
      </c>
      <c r="D9" s="5">
        <f t="shared" ref="D9:D11" si="1">B9/0.6</f>
        <v>10.21666667</v>
      </c>
      <c r="E9" s="2" t="s">
        <v>9</v>
      </c>
      <c r="F9" s="2" t="s">
        <v>10</v>
      </c>
    </row>
    <row r="10" ht="14.25" customHeight="1">
      <c r="A10" s="3" t="s">
        <v>11</v>
      </c>
      <c r="B10" s="4">
        <f>0.05*B4</f>
        <v>5.26</v>
      </c>
      <c r="C10" s="3" t="s">
        <v>2</v>
      </c>
      <c r="D10" s="5">
        <f t="shared" si="1"/>
        <v>8.766666667</v>
      </c>
      <c r="E10" s="2" t="s">
        <v>9</v>
      </c>
      <c r="F10" s="2" t="s">
        <v>10</v>
      </c>
    </row>
    <row r="11" ht="14.25" customHeight="1">
      <c r="A11" s="3" t="s">
        <v>12</v>
      </c>
      <c r="B11" s="6">
        <f>0.0045*B8+0.1*15.6</f>
        <v>26.04</v>
      </c>
      <c r="C11" s="3" t="s">
        <v>2</v>
      </c>
      <c r="D11" s="5">
        <f t="shared" si="1"/>
        <v>43.4</v>
      </c>
      <c r="E11" s="2" t="s">
        <v>9</v>
      </c>
      <c r="F11" s="2" t="s">
        <v>10</v>
      </c>
    </row>
    <row r="12" ht="14.25" customHeight="1">
      <c r="A12" s="7" t="s">
        <v>13</v>
      </c>
      <c r="B12" s="4">
        <f>B4-B11-B10-B9</f>
        <v>67.77</v>
      </c>
      <c r="C12" s="2" t="s">
        <v>2</v>
      </c>
      <c r="D12" s="5">
        <f>B12/0.7</f>
        <v>96.81428571</v>
      </c>
      <c r="E12" s="2" t="s">
        <v>9</v>
      </c>
      <c r="F12" s="2" t="s">
        <v>14</v>
      </c>
    </row>
    <row r="13" ht="14.25" customHeight="1"/>
    <row r="14" ht="14.25" customHeight="1"/>
    <row r="15" ht="14.25" customHeight="1">
      <c r="A15" s="8" t="s">
        <v>15</v>
      </c>
    </row>
    <row r="16" ht="14.25" customHeight="1">
      <c r="A16" s="2" t="s">
        <v>16</v>
      </c>
      <c r="B16" s="6">
        <f>B5/20</f>
        <v>0.78</v>
      </c>
      <c r="C16" s="2" t="s">
        <v>2</v>
      </c>
    </row>
    <row r="17" ht="14.25" customHeight="1">
      <c r="A17" s="2" t="s">
        <v>17</v>
      </c>
      <c r="B17" s="9">
        <f>2.14*B4*B5*(B7-B16)*(0.82*0.73+0.217)</f>
        <v>15524.96448</v>
      </c>
    </row>
    <row r="18" ht="14.25" customHeight="1"/>
    <row r="19" ht="14.25" customHeight="1"/>
    <row r="20" ht="14.25" customHeight="1"/>
    <row r="21" ht="14.25" customHeight="1"/>
    <row r="22" ht="14.25" customHeight="1">
      <c r="A22" s="10" t="s">
        <v>18</v>
      </c>
    </row>
    <row r="23" ht="14.25" customHeight="1">
      <c r="A23" s="2" t="s">
        <v>19</v>
      </c>
      <c r="B23" s="2">
        <v>14.5</v>
      </c>
      <c r="C23" s="2" t="s">
        <v>20</v>
      </c>
    </row>
    <row r="24" ht="14.25" customHeight="1">
      <c r="A24" s="2" t="s">
        <v>21</v>
      </c>
      <c r="C24" s="2" t="s">
        <v>22</v>
      </c>
    </row>
    <row r="25" ht="14.25" customHeight="1">
      <c r="A25" s="2" t="s">
        <v>23</v>
      </c>
      <c r="B25" s="2">
        <v>910.0</v>
      </c>
      <c r="C25" s="2" t="s">
        <v>24</v>
      </c>
    </row>
    <row r="26" ht="14.25" customHeight="1">
      <c r="A26" s="2" t="s">
        <v>25</v>
      </c>
    </row>
    <row r="27" ht="14.25" customHeight="1">
      <c r="A27" s="2" t="s">
        <v>26</v>
      </c>
      <c r="B27" s="2">
        <v>3.2</v>
      </c>
    </row>
    <row r="28" ht="14.25" customHeight="1">
      <c r="A28" s="2" t="s">
        <v>27</v>
      </c>
      <c r="B28" s="11">
        <v>8.0</v>
      </c>
    </row>
    <row r="29" ht="14.25" customHeight="1">
      <c r="A29" s="2" t="s">
        <v>28</v>
      </c>
      <c r="B29" s="12">
        <f>B27*B8/1000+B28</f>
        <v>25.408</v>
      </c>
      <c r="C29" s="2" t="s">
        <v>2</v>
      </c>
    </row>
    <row r="30" ht="14.25" customHeight="1">
      <c r="A30" s="2" t="s">
        <v>29</v>
      </c>
      <c r="B30" s="9">
        <f>0.85*B29*B5*(B7-B16)*0.73</f>
        <v>1333.018423</v>
      </c>
      <c r="C30" s="2" t="s">
        <v>22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>
      <c r="A46" s="10" t="s">
        <v>30</v>
      </c>
    </row>
    <row r="47" ht="14.25" customHeight="1"/>
    <row r="48" ht="14.25" customHeight="1"/>
    <row r="49" ht="14.25" customHeight="1">
      <c r="A49" s="10" t="s">
        <v>31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D3"/>
    <mergeCell ref="A15:D15"/>
    <mergeCell ref="A22:D22"/>
    <mergeCell ref="A46:D46"/>
    <mergeCell ref="A49:D4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2025-11-02T16:27:08Z</dcterms:created>
  <dc:creator>Aex Oiveira</dc:creator>
</cp:coreProperties>
</file>